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felipe.local\Videos\Controle de investimentos\"/>
    </mc:Choice>
  </mc:AlternateContent>
  <xr:revisionPtr revIDLastSave="0" documentId="8_{F7F2D955-BDF8-4272-8705-09853440FCE1}" xr6:coauthVersionLast="47" xr6:coauthVersionMax="47" xr10:uidLastSave="{00000000-0000-0000-0000-000000000000}"/>
  <bookViews>
    <workbookView xWindow="-20610" yWindow="630" windowWidth="20730" windowHeight="117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D17" i="1"/>
  <c r="C33" i="1" s="1"/>
  <c r="C24" i="1"/>
  <c r="D14" i="1"/>
  <c r="A6" i="2"/>
  <c r="A7" i="2"/>
  <c r="A8" i="2"/>
  <c r="A9" i="2"/>
  <c r="A10" i="2"/>
  <c r="A4" i="2"/>
  <c r="D20" i="1"/>
  <c r="D21" i="1" s="1"/>
  <c r="C27" i="1"/>
  <c r="D27" i="1" s="1"/>
  <c r="C26" i="1"/>
  <c r="D26" i="1" s="1"/>
  <c r="C25" i="1"/>
  <c r="D25" i="1" s="1"/>
  <c r="C28" i="1"/>
  <c r="D28" i="1" s="1"/>
  <c r="D24" i="1"/>
  <c r="C36" i="1" l="1"/>
  <c r="C37" i="1"/>
  <c r="C38" i="1"/>
  <c r="H4" i="2"/>
  <c r="D36" i="1"/>
  <c r="D38" i="1"/>
  <c r="D37" i="1"/>
  <c r="D39" i="1" l="1"/>
</calcChain>
</file>

<file path=xl/sharedStrings.xml><?xml version="1.0" encoding="utf-8"?>
<sst xmlns="http://schemas.openxmlformats.org/spreadsheetml/2006/main" count="47" uniqueCount="36">
  <si>
    <t xml:space="preserve"> PRIMEIRO INVESTIMENTO</t>
  </si>
  <si>
    <t>INFORMAÇÕES PESSOAIS</t>
  </si>
  <si>
    <t>Salário líquido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</si>
  <si>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</si>
  <si>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</si>
  <si>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</si>
  <si>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</si>
  <si>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</si>
  <si>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</si>
  <si>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</si>
  <si>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</si>
  <si>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Projeções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</si>
  <si>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</si>
  <si>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</si>
  <si>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</si>
  <si>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</si>
  <si>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</si>
  <si>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</si>
  <si>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</si>
  <si>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</si>
  <si>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</si>
  <si>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</si>
  <si>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</si>
  <si>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</si>
  <si>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Ações</t>
  </si>
  <si>
    <t>FI</t>
  </si>
  <si>
    <t>HOTELARIAS</t>
  </si>
  <si>
    <t>CHAVE</t>
  </si>
  <si>
    <t>%</t>
  </si>
  <si>
    <t>Conservador</t>
  </si>
  <si>
    <t>Tesouro Direto</t>
  </si>
  <si>
    <t>CDB</t>
  </si>
  <si>
    <t>Moderado-FI</t>
  </si>
  <si>
    <t>Agressivo</t>
  </si>
  <si>
    <t>Bolsa de Valores</t>
  </si>
  <si>
    <t>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</si>
</sst>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rgb="FF000000"/>
      <name val="Segoe UI Semibold"/>
      <family val="2"/>
    </font>
    <font>
      <b/>
      <sz val="20"/>
      <color rgb="FF000000"/>
      <name val="Segoe UI Semibold"/>
      <family val="2"/>
    </font>
    <font>
      <b/>
      <sz val="12"/>
      <color rgb="FF000000"/>
      <name val="Segoe UI Semibold"/>
      <family val="2"/>
    </font>
    <font>
      <sz val="11"/>
      <color rgb="FF000000"/>
      <name val="Aptos Narrow"/>
      <family val="2"/>
      <scheme val="minor"/>
    </font>
    <font>
      <b/>
      <sz val="36"/>
      <color rgb="FF000000"/>
      <name val="Batang"/>
    </font>
    <font>
      <sz val="36"/>
      <color theme="1"/>
      <name val="Batang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C8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C2DD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3" borderId="8" xfId="0" applyFont="1" applyFill="1" applyBorder="1" applyAlignment="1">
      <alignment horizontal="left" indent="3"/>
    </xf>
    <xf numFmtId="164" fontId="6" fillId="3" borderId="9" xfId="0" applyNumberFormat="1" applyFont="1" applyFill="1" applyBorder="1" applyAlignment="1">
      <alignment horizontal="center"/>
    </xf>
    <xf numFmtId="164" fontId="6" fillId="3" borderId="10" xfId="0" applyNumberFormat="1" applyFont="1" applyFill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164" fontId="6" fillId="0" borderId="16" xfId="1" applyNumberFormat="1" applyFont="1" applyBorder="1" applyAlignment="1">
      <alignment horizontal="center"/>
    </xf>
    <xf numFmtId="10" fontId="6" fillId="0" borderId="19" xfId="0" applyNumberFormat="1" applyFont="1" applyBorder="1" applyAlignment="1">
      <alignment horizontal="center"/>
    </xf>
    <xf numFmtId="0" fontId="2" fillId="2" borderId="0" xfId="3"/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0" fillId="8" borderId="0" xfId="0" applyFill="1"/>
    <xf numFmtId="9" fontId="0" fillId="8" borderId="0" xfId="0" applyNumberFormat="1" applyFill="1"/>
    <xf numFmtId="164" fontId="6" fillId="10" borderId="22" xfId="0" applyNumberFormat="1" applyFont="1" applyFill="1" applyBorder="1" applyAlignment="1">
      <alignment horizontal="center"/>
    </xf>
    <xf numFmtId="8" fontId="7" fillId="12" borderId="19" xfId="0" applyNumberFormat="1" applyFont="1" applyFill="1" applyBorder="1" applyAlignment="1">
      <alignment horizontal="center"/>
    </xf>
    <xf numFmtId="8" fontId="7" fillId="10" borderId="22" xfId="0" applyNumberFormat="1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indent="3"/>
    </xf>
    <xf numFmtId="164" fontId="6" fillId="4" borderId="6" xfId="0" applyNumberFormat="1" applyFont="1" applyFill="1" applyBorder="1" applyAlignment="1">
      <alignment horizontal="center"/>
    </xf>
    <xf numFmtId="164" fontId="6" fillId="4" borderId="7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left" indent="3"/>
    </xf>
    <xf numFmtId="164" fontId="6" fillId="4" borderId="9" xfId="0" applyNumberFormat="1" applyFont="1" applyFill="1" applyBorder="1" applyAlignment="1">
      <alignment horizontal="center"/>
    </xf>
    <xf numFmtId="164" fontId="6" fillId="4" borderId="10" xfId="0" applyNumberFormat="1" applyFont="1" applyFill="1" applyBorder="1" applyAlignment="1">
      <alignment horizontal="center"/>
    </xf>
    <xf numFmtId="0" fontId="5" fillId="14" borderId="11" xfId="0" applyFont="1" applyFill="1" applyBorder="1" applyAlignment="1">
      <alignment horizontal="left" indent="3"/>
    </xf>
    <xf numFmtId="164" fontId="6" fillId="14" borderId="12" xfId="0" applyNumberFormat="1" applyFont="1" applyFill="1" applyBorder="1" applyAlignment="1">
      <alignment horizontal="center"/>
    </xf>
    <xf numFmtId="164" fontId="6" fillId="14" borderId="13" xfId="0" applyNumberFormat="1" applyFont="1" applyFill="1" applyBorder="1" applyAlignment="1">
      <alignment horizontal="center"/>
    </xf>
    <xf numFmtId="0" fontId="12" fillId="15" borderId="0" xfId="3" applyFont="1" applyFill="1"/>
    <xf numFmtId="0" fontId="12" fillId="16" borderId="0" xfId="3" applyFont="1" applyFill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3" fillId="17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horizontal="center" vertical="center" wrapText="1"/>
    </xf>
    <xf numFmtId="0" fontId="5" fillId="4" borderId="14" xfId="0" applyFont="1" applyFill="1" applyBorder="1" applyAlignment="1">
      <alignment horizontal="left" indent="3"/>
    </xf>
    <xf numFmtId="0" fontId="5" fillId="4" borderId="15" xfId="0" applyFont="1" applyFill="1" applyBorder="1" applyAlignment="1">
      <alignment horizontal="left" indent="3"/>
    </xf>
    <xf numFmtId="0" fontId="5" fillId="4" borderId="17" xfId="0" applyFont="1" applyFill="1" applyBorder="1" applyAlignment="1">
      <alignment horizontal="left" indent="3"/>
    </xf>
    <xf numFmtId="0" fontId="5" fillId="4" borderId="18" xfId="0" applyFont="1" applyFill="1" applyBorder="1" applyAlignment="1">
      <alignment horizontal="left" indent="3"/>
    </xf>
    <xf numFmtId="0" fontId="5" fillId="10" borderId="20" xfId="0" applyFont="1" applyFill="1" applyBorder="1" applyAlignment="1">
      <alignment horizontal="left" indent="3"/>
    </xf>
    <xf numFmtId="0" fontId="5" fillId="10" borderId="21" xfId="0" applyFont="1" applyFill="1" applyBorder="1" applyAlignment="1">
      <alignment horizontal="left" indent="3"/>
    </xf>
    <xf numFmtId="0" fontId="8" fillId="12" borderId="17" xfId="0" applyFont="1" applyFill="1" applyBorder="1" applyAlignment="1">
      <alignment horizontal="left" indent="3"/>
    </xf>
    <xf numFmtId="0" fontId="8" fillId="12" borderId="18" xfId="0" applyFont="1" applyFill="1" applyBorder="1" applyAlignment="1">
      <alignment horizontal="left" indent="3"/>
    </xf>
    <xf numFmtId="0" fontId="10" fillId="13" borderId="1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left" indent="3"/>
    </xf>
    <xf numFmtId="0" fontId="8" fillId="10" borderId="21" xfId="0" applyFont="1" applyFill="1" applyBorder="1" applyAlignment="1">
      <alignment horizontal="left" indent="3"/>
    </xf>
    <xf numFmtId="0" fontId="10" fillId="11" borderId="1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0" fillId="4" borderId="0" xfId="0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CC2DD"/>
      <color rgb="FFF7C8F5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B7-4268-9861-E6F6E8558B9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B7-4268-9861-E6F6E8558B9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B7-4268-9861-E6F6E8558B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APP!$B$36:$B$38</c:f>
              <c:strCache>
                <c:ptCount val="3"/>
                <c:pt idx="0">
                  <c:v>Ações</c:v>
                </c:pt>
                <c:pt idx="1">
                  <c:v>FI</c:v>
                </c:pt>
                <c:pt idx="2">
                  <c:v>HOTELARIAS</c:v>
                </c:pt>
              </c:strCache>
            </c:strRef>
          </c:cat>
          <c:val>
            <c:numRef>
              <c:f>APP!$C$36:$C$38</c:f>
              <c:numCache>
                <c:formatCode>0%</c:formatCode>
                <c:ptCount val="3"/>
                <c:pt idx="0">
                  <c:v>0.32</c:v>
                </c:pt>
                <c:pt idx="1">
                  <c:v>0.35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39</xdr:row>
      <xdr:rowOff>97971</xdr:rowOff>
    </xdr:from>
    <xdr:to>
      <xdr:col>3</xdr:col>
      <xdr:colOff>892175</xdr:colOff>
      <xdr:row>52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2:H56"/>
  <sheetViews>
    <sheetView showGridLines="0" tabSelected="1" zoomScale="110" zoomScaleNormal="110" workbookViewId="0">
      <selection activeCell="E6" sqref="E6"/>
    </sheetView>
  </sheetViews>
  <sheetFormatPr defaultColWidth="0" defaultRowHeight="15" customHeight="1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5" width="28.140625" customWidth="1"/>
    <col min="6" max="6" width="25.28515625" style="28" customWidth="1"/>
    <col min="7" max="8" width="0" hidden="1" customWidth="1"/>
    <col min="9" max="16384" width="8.7109375" hidden="1"/>
  </cols>
  <sheetData>
    <row r="2" spans="2:4" ht="15" customHeight="1">
      <c r="B2" s="48" t="s">
        <v>0</v>
      </c>
      <c r="C2" s="49"/>
      <c r="D2" s="49"/>
    </row>
    <row r="3" spans="2:4" ht="15" customHeight="1">
      <c r="B3" s="49"/>
      <c r="C3" s="49"/>
      <c r="D3" s="49"/>
    </row>
    <row r="4" spans="2:4" ht="15" customHeight="1">
      <c r="B4" s="49"/>
      <c r="C4" s="49"/>
      <c r="D4" s="49"/>
    </row>
    <row r="5" spans="2:4" ht="15" customHeight="1">
      <c r="B5" s="49"/>
      <c r="C5" s="49"/>
      <c r="D5" s="49"/>
    </row>
    <row r="6" spans="2:4" ht="15" customHeight="1">
      <c r="B6" s="49"/>
      <c r="C6" s="49"/>
      <c r="D6" s="49"/>
    </row>
    <row r="7" spans="2:4" ht="15" customHeight="1">
      <c r="B7" s="49"/>
      <c r="C7" s="49"/>
      <c r="D7" s="49"/>
    </row>
    <row r="8" spans="2:4" ht="15" customHeight="1">
      <c r="B8" s="49"/>
      <c r="C8" s="49"/>
      <c r="D8" s="49"/>
    </row>
    <row r="10" spans="2:4"/>
    <row r="11" spans="2:4" ht="26.25">
      <c r="B11" s="45" t="s">
        <v>1</v>
      </c>
      <c r="C11" s="46"/>
      <c r="D11" s="47"/>
    </row>
    <row r="12" spans="2:4" ht="17.25">
      <c r="B12" s="50" t="s">
        <v>2</v>
      </c>
      <c r="C12" s="51"/>
      <c r="D12" s="10">
        <v>1889</v>
      </c>
    </row>
    <row r="13" spans="2:4" ht="17.25">
      <c r="B13" s="52" t="s">
        <v>3</v>
      </c>
      <c r="C13" s="53"/>
      <c r="D13" s="11">
        <v>6.0000000000000001E-3</v>
      </c>
    </row>
    <row r="14" spans="2:4" ht="17.25">
      <c r="B14" s="54" t="s">
        <v>4</v>
      </c>
      <c r="C14" s="55"/>
      <c r="D14" s="30">
        <f>D12*30%</f>
        <v>566.69999999999993</v>
      </c>
    </row>
    <row r="15" spans="2:4" thickBot="1"/>
    <row r="16" spans="2:4" ht="28.5" customHeight="1">
      <c r="B16" s="62" t="s">
        <v>5</v>
      </c>
      <c r="C16" s="63"/>
      <c r="D16" s="64"/>
    </row>
    <row r="17" spans="1:6" ht="17.25">
      <c r="B17" s="50" t="s">
        <v>6</v>
      </c>
      <c r="C17" s="51"/>
      <c r="D17" s="7">
        <f>1889*20%</f>
        <v>377.8</v>
      </c>
    </row>
    <row r="18" spans="1:6" ht="17.25">
      <c r="B18" s="52" t="s">
        <v>7</v>
      </c>
      <c r="C18" s="53"/>
      <c r="D18" s="8">
        <v>3</v>
      </c>
    </row>
    <row r="19" spans="1:6" ht="17.25">
      <c r="B19" s="52" t="s">
        <v>8</v>
      </c>
      <c r="C19" s="53"/>
      <c r="D19" s="9">
        <v>0.01</v>
      </c>
    </row>
    <row r="20" spans="1:6" ht="17.25">
      <c r="B20" s="56" t="s">
        <v>9</v>
      </c>
      <c r="C20" s="57"/>
      <c r="D20" s="31">
        <f>FV(taxa_mensal,qtd_anos*12,aporte*-1)</f>
        <v>16274.444644089932</v>
      </c>
    </row>
    <row r="21" spans="1:6" ht="17.25">
      <c r="B21" s="60" t="s">
        <v>10</v>
      </c>
      <c r="C21" s="61"/>
      <c r="D21" s="32">
        <f>patrimonio*rendimento_carteira</f>
        <v>97.646667864539594</v>
      </c>
      <c r="F21" s="29"/>
    </row>
    <row r="22" spans="1:6" thickBot="1"/>
    <row r="23" spans="1:6" ht="30.75">
      <c r="B23" s="58" t="s">
        <v>11</v>
      </c>
      <c r="C23" s="59"/>
      <c r="D23" s="33" t="s">
        <v>12</v>
      </c>
    </row>
    <row r="24" spans="1:6" ht="17.25">
      <c r="A24" s="1">
        <v>2</v>
      </c>
      <c r="B24" s="34" t="s">
        <v>13</v>
      </c>
      <c r="C24" s="35">
        <f>FV($D$19,$A24*12,$D$17*-1)</f>
        <v>10190.575021535748</v>
      </c>
      <c r="D24" s="36">
        <f>C24*rendimento_carteira</f>
        <v>61.143450129214486</v>
      </c>
    </row>
    <row r="25" spans="1:6" ht="17.25">
      <c r="A25" s="1">
        <v>5</v>
      </c>
      <c r="B25" s="37" t="s">
        <v>14</v>
      </c>
      <c r="C25" s="38">
        <f>FV($D$19,$A25*12,$D$17*-1)</f>
        <v>30854.80127175137</v>
      </c>
      <c r="D25" s="39">
        <f>C25*rendimento_carteira</f>
        <v>185.12880763050822</v>
      </c>
    </row>
    <row r="26" spans="1:6" ht="17.25">
      <c r="A26" s="1">
        <v>10</v>
      </c>
      <c r="B26" s="4" t="s">
        <v>15</v>
      </c>
      <c r="C26" s="5">
        <f>FV($D$19,$A26*12,$D$17*-1)</f>
        <v>86908.616876993256</v>
      </c>
      <c r="D26" s="6">
        <f>C26*rendimento_carteira</f>
        <v>521.45170126195956</v>
      </c>
    </row>
    <row r="27" spans="1:6" ht="17.25">
      <c r="A27" s="1">
        <v>20</v>
      </c>
      <c r="B27" s="4" t="s">
        <v>16</v>
      </c>
      <c r="C27" s="5">
        <f>FV($D$19,$A27*12,$D$17*-1)</f>
        <v>373740.67704334576</v>
      </c>
      <c r="D27" s="6">
        <f>C27*rendimento_carteira</f>
        <v>2242.4440622600746</v>
      </c>
    </row>
    <row r="28" spans="1:6" ht="17.25">
      <c r="A28" s="1">
        <v>30</v>
      </c>
      <c r="B28" s="40" t="s">
        <v>17</v>
      </c>
      <c r="C28" s="41">
        <f>FV($D$19,$A28*12,$D$17*-1)</f>
        <v>1320397.4493599418</v>
      </c>
      <c r="D28" s="42">
        <f>C28*rendimento_carteira</f>
        <v>7922.384696159651</v>
      </c>
    </row>
    <row r="32" spans="1:6">
      <c r="B32" s="43" t="s">
        <v>18</v>
      </c>
      <c r="C32" s="44" t="s">
        <v>19</v>
      </c>
      <c r="D32" s="43"/>
    </row>
    <row r="33" spans="2:4">
      <c r="B33" s="13" t="s">
        <v>20</v>
      </c>
      <c r="C33" s="14">
        <f>aporte</f>
        <v>377.8</v>
      </c>
      <c r="D33" s="13"/>
    </row>
    <row r="35" spans="2:4">
      <c r="B35" s="15" t="s">
        <v>21</v>
      </c>
      <c r="C35" s="15" t="s">
        <v>22</v>
      </c>
      <c r="D35" s="15" t="s">
        <v>23</v>
      </c>
    </row>
    <row r="36" spans="2:4">
      <c r="B36" s="2" t="s">
        <v>24</v>
      </c>
      <c r="C36" s="3">
        <f>VLOOKUP($C$32&amp;"-"&amp;B36,Planilha2!$A:$D,4,FALSE)</f>
        <v>0.32</v>
      </c>
      <c r="D36" s="18">
        <f>C36*$C$33</f>
        <v>120.896</v>
      </c>
    </row>
    <row r="37" spans="2:4">
      <c r="B37" s="2" t="s">
        <v>25</v>
      </c>
      <c r="C37" s="3">
        <f>VLOOKUP($C$32&amp;"-"&amp;B37,Planilha2!$A:$D,4,FALSE)</f>
        <v>0.35</v>
      </c>
      <c r="D37" s="18">
        <f t="shared" ref="D37:D38" si="0">C37*$C$33</f>
        <v>132.22999999999999</v>
      </c>
    </row>
    <row r="38" spans="2:4">
      <c r="B38" s="2" t="s">
        <v>26</v>
      </c>
      <c r="C38" s="3">
        <f>VLOOKUP($C$32&amp;"-"&amp;B38,Planilha2!$A:$D,4,FALSE)</f>
        <v>0.1</v>
      </c>
      <c r="D38" s="18">
        <f t="shared" si="0"/>
        <v>37.78</v>
      </c>
    </row>
    <row r="39" spans="2:4">
      <c r="B39" s="16"/>
      <c r="C39" s="16"/>
      <c r="D39" s="17">
        <f>SUM(D36:D38)</f>
        <v>290.90599999999995</v>
      </c>
    </row>
    <row r="46" spans="2:4"/>
    <row r="47" spans="2:4"/>
    <row r="48" spans="2:4"/>
    <row r="49"/>
    <row r="50"/>
    <row r="51"/>
    <row r="52"/>
    <row r="53"/>
    <row r="54" s="65" customFormat="1"/>
    <row r="55" s="65" customFormat="1" ht="15" customHeight="1"/>
    <row r="56" s="65" customFormat="1"/>
  </sheetData>
  <mergeCells count="12">
    <mergeCell ref="B16:D16"/>
    <mergeCell ref="B20:C20"/>
    <mergeCell ref="B23:C23"/>
    <mergeCell ref="B17:C17"/>
    <mergeCell ref="B18:C18"/>
    <mergeCell ref="B19:C19"/>
    <mergeCell ref="B21:C21"/>
    <mergeCell ref="B11:D11"/>
    <mergeCell ref="B2:D8"/>
    <mergeCell ref="B12:C12"/>
    <mergeCell ref="B13:C13"/>
    <mergeCell ref="B14:C14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11"/>
  <sheetViews>
    <sheetView showGridLines="0" zoomScale="115" zoomScaleNormal="115" workbookViewId="0">
      <selection activeCell="G12" sqref="G12"/>
    </sheetView>
  </sheetViews>
  <sheetFormatPr defaultRowHeight="14.4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>
      <c r="A2" s="26" t="s">
        <v>27</v>
      </c>
      <c r="B2" s="26" t="s">
        <v>18</v>
      </c>
      <c r="C2" s="27" t="s">
        <v>21</v>
      </c>
      <c r="D2" s="27" t="s">
        <v>28</v>
      </c>
    </row>
    <row r="3" spans="1:8">
      <c r="A3" t="str">
        <f>B3&amp;"-"&amp;C3</f>
        <v>Conservador-Tesouro Direto</v>
      </c>
      <c r="B3" t="s">
        <v>29</v>
      </c>
      <c r="C3" s="2" t="s">
        <v>30</v>
      </c>
      <c r="D3" s="3">
        <v>0.3</v>
      </c>
      <c r="H3" t="s">
        <v>28</v>
      </c>
    </row>
    <row r="4" spans="1:8">
      <c r="A4" t="str">
        <f t="shared" ref="A4:A10" si="0">B4&amp;"-"&amp;C4</f>
        <v>Conservador-CDB</v>
      </c>
      <c r="B4" t="s">
        <v>29</v>
      </c>
      <c r="C4" s="2" t="s">
        <v>31</v>
      </c>
      <c r="D4" s="3">
        <v>0.5</v>
      </c>
      <c r="G4" s="12" t="s">
        <v>32</v>
      </c>
      <c r="H4" s="25">
        <f>VLOOKUP(G4,$A:$D,4,FALSE)</f>
        <v>0.35</v>
      </c>
    </row>
    <row r="5" spans="1:8" ht="15">
      <c r="A5" s="19"/>
      <c r="B5" s="19"/>
      <c r="C5" s="20"/>
      <c r="D5" s="21"/>
    </row>
    <row r="6" spans="1:8" ht="15">
      <c r="A6" t="str">
        <f t="shared" si="0"/>
        <v>Moderado-Ações</v>
      </c>
      <c r="B6" t="s">
        <v>19</v>
      </c>
      <c r="C6" s="2" t="s">
        <v>24</v>
      </c>
      <c r="D6" s="3">
        <v>0.32</v>
      </c>
    </row>
    <row r="7" spans="1:8">
      <c r="A7" s="22" t="str">
        <f t="shared" si="0"/>
        <v>Moderado-FI</v>
      </c>
      <c r="B7" s="22" t="s">
        <v>19</v>
      </c>
      <c r="C7" s="23" t="s">
        <v>25</v>
      </c>
      <c r="D7" s="24">
        <v>0.35</v>
      </c>
    </row>
    <row r="8" spans="1:8" ht="15" thickBot="1">
      <c r="A8" s="19" t="str">
        <f t="shared" si="0"/>
        <v>Moderado-HOTELARIAS</v>
      </c>
      <c r="B8" s="19" t="s">
        <v>19</v>
      </c>
      <c r="C8" s="20" t="s">
        <v>26</v>
      </c>
      <c r="D8" s="21">
        <v>0.1</v>
      </c>
    </row>
    <row r="9" spans="1:8">
      <c r="A9" t="str">
        <f t="shared" si="0"/>
        <v>Agressivo-Bolsa de Valores</v>
      </c>
      <c r="B9" t="s">
        <v>33</v>
      </c>
      <c r="C9" s="2" t="s">
        <v>34</v>
      </c>
      <c r="D9" s="3">
        <v>0.5</v>
      </c>
    </row>
    <row r="10" spans="1:8">
      <c r="A10" t="str">
        <f t="shared" si="0"/>
        <v>Agressivo-Bitcoin</v>
      </c>
      <c r="B10" t="s">
        <v>33</v>
      </c>
      <c r="C10" s="2" t="s">
        <v>35</v>
      </c>
      <c r="D10" s="3">
        <v>0.1</v>
      </c>
    </row>
    <row r="11" spans="1:8">
      <c r="D1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54D0D6DD-E6DB-45C8-8F90-E314C090C085}"/>
</file>

<file path=customXml/itemProps3.xml><?xml version="1.0" encoding="utf-8"?>
<ds:datastoreItem xmlns:ds="http://schemas.openxmlformats.org/officeDocument/2006/customXml" ds:itemID="{C32110DE-3D77-470C-9CED-65521C30E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2025-04-16T18:38:03Z</dcterms:created>
  <dcterms:modified xsi:type="dcterms:W3CDTF">2026-02-06T17:34:23Z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