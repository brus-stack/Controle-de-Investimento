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C:\Users\felipe.local\Videos\Controle de investimentos\"/>
    </mc:Choice>
  </mc:AlternateContent>
  <xr:revisionPtr revIDLastSave="0" documentId="8_{1732FFE0-312E-4336-9718-13FFEEA55C75}" xr6:coauthVersionLast="47" xr6:coauthVersionMax="47" xr10:uidLastSave="{00000000-0000-0000-0000-000000000000}"/>
  <bookViews>
    <workbookView xWindow="-20610" yWindow="630" windowWidth="20730" windowHeight="11760" tabRatio="345" xr2:uid="{D63472A4-8300-4934-9C87-0EC792DCF89D}"/>
  </bookViews>
  <sheets>
    <sheet name="APP" sheetId="1" r:id="rId1"/>
    <sheet name="Planilha2" sheetId="2" r:id="rId2"/>
  </sheets>
  <definedNames>
    <definedName name="aporte">APP!$D$17</definedName>
    <definedName name="patrimonio">APP!$D$20</definedName>
    <definedName name="qtd_anos">APP!$D$18</definedName>
    <definedName name="rendimento_carteira">APP!$D$13</definedName>
    <definedName name="salario">APP!$D$12</definedName>
    <definedName name="sugestao_investimento">APP!$D$14</definedName>
    <definedName name="taxa_mensal">APP!$D$19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17" i="1"/>
  <c r="C24" i="1"/>
  <c r="D14" i="1"/>
  <c r="C36" i="1"/>
  <c r="C37" i="1"/>
  <c r="C38" i="1"/>
  <c r="C39" i="1"/>
  <c r="C40" i="1"/>
  <c r="C41" i="1"/>
  <c r="H4" i="2"/>
  <c r="A9" i="2"/>
  <c r="A10" i="2"/>
  <c r="A11" i="2"/>
  <c r="A12" i="2"/>
  <c r="A13" i="2"/>
  <c r="A14" i="2"/>
  <c r="A15" i="2"/>
  <c r="A16" i="2"/>
  <c r="A17" i="2"/>
  <c r="A18" i="2"/>
  <c r="A19" i="2"/>
  <c r="A20" i="2"/>
  <c r="A4" i="2"/>
  <c r="A5" i="2"/>
  <c r="A6" i="2"/>
  <c r="A7" i="2"/>
  <c r="A8" i="2"/>
  <c r="A3" i="2"/>
  <c r="D20" i="1"/>
  <c r="D21" i="1" s="1"/>
  <c r="C27" i="1"/>
  <c r="D27" i="1" s="1"/>
  <c r="C26" i="1"/>
  <c r="D26" i="1" s="1"/>
  <c r="C25" i="1"/>
  <c r="D25" i="1" s="1"/>
  <c r="C28" i="1"/>
  <c r="D28" i="1" s="1"/>
  <c r="D24" i="1"/>
  <c r="D36" i="1" l="1"/>
  <c r="D41" i="1"/>
  <c r="D39" i="1"/>
  <c r="D38" i="1"/>
  <c r="D40" i="1"/>
  <c r="D37" i="1"/>
  <c r="D42" i="1" l="1"/>
</calcChain>
</file>

<file path=xl/sharedStrings.xml><?xml version="1.0" encoding="utf-8"?>
<sst xmlns="http://schemas.openxmlformats.org/spreadsheetml/2006/main" count="72" uniqueCount="35">
  <si>
    <t>PRIMEIRO INVESTIMENTO</t>
  </si>
  <si>
    <t>INFORMAÇÕES PESSOAIS</t>
  </si>
  <si>
    <t>Salário líquido</t>
  </si>
  <si>
    <t>Rendimento Carteira</t>
  </si>
  <si>
    <t>Sugestão de Investimento (30%)</t>
  </si>
  <si>
    <t>INVESTIMENTO MENSAL</t>
  </si>
  <si>
    <t>Quanto investir por mês ?</t>
  </si>
  <si>
    <t>Por Quantos Anos ?</t>
  </si>
  <si>
    <t>Taxa de Rendimento mensal ?</t>
  </si>
  <si>
    <t>Patrimônio acumulado ?</t>
  </si>
  <si>
    <t>Dividendos Mensais ?</t>
  </si>
  <si>
    <t xml:space="preserve"> Cenários</t>
  </si>
  <si>
    <t>Dividendo</t>
  </si>
  <si>
    <t>Quanto em 2 Anos ?</t>
  </si>
  <si>
    <t>Quanto em 5 Anos ?</t>
  </si>
  <si>
    <t>Quanto em 10 Anos ?</t>
  </si>
  <si>
    <t>Quanto em 20 Anos ?</t>
  </si>
  <si>
    <t>Quanto em 30 Anos ?</t>
  </si>
  <si>
    <t>PERFIL</t>
  </si>
  <si>
    <t>Moderado</t>
  </si>
  <si>
    <t>VALOR A SER INVESTIDO POR MÊS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</si>
  <si>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</si>
  <si>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</si>
  <si>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</si>
  <si>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</si>
  <si>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</si>
  <si>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</si>
  <si>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</si>
  <si>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</si>
  <si>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</si>
  <si>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CHAVE</t>
  </si>
  <si>
    <t>%</t>
  </si>
  <si>
    <t>Conservador</t>
  </si>
  <si>
    <t>Moderado-TIJOLO</t>
  </si>
  <si>
    <t>Agressivo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</si>
</sst>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b/>
      <sz val="18"/>
      <color rgb="FF000000"/>
      <name val="Segoe UI Semibold"/>
      <family val="2"/>
    </font>
    <font>
      <b/>
      <sz val="20"/>
      <color rgb="FF000000"/>
      <name val="Segoe UI Semibold"/>
      <family val="2"/>
    </font>
    <font>
      <b/>
      <sz val="12"/>
      <color rgb="FF000000"/>
      <name val="Segoe UI Semibold"/>
      <family val="2"/>
    </font>
    <font>
      <sz val="11"/>
      <color rgb="FF000000"/>
      <name val="Aptos Narrow"/>
      <family val="2"/>
      <scheme val="minor"/>
    </font>
    <font>
      <b/>
      <sz val="36"/>
      <color rgb="FF000000"/>
      <name val="Batang"/>
    </font>
    <font>
      <sz val="36"/>
      <color theme="1"/>
      <name val="Batang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7C8F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C2DD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indexed="64"/>
      </right>
      <top/>
      <bottom style="hair">
        <color theme="0" tint="-0.14996795556505021"/>
      </bottom>
      <diagonal/>
    </border>
    <border>
      <left style="medium">
        <color indexed="64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theme="0" tint="-0.14996795556505021"/>
      </left>
      <right style="medium">
        <color indexed="64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indexed="64"/>
      </left>
      <right style="hair">
        <color theme="0" tint="-0.14996795556505021"/>
      </right>
      <top style="hair">
        <color theme="0" tint="-0.14996795556505021"/>
      </top>
      <bottom style="medium">
        <color indexed="64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medium">
        <color indexed="64"/>
      </bottom>
      <diagonal/>
    </border>
    <border>
      <left style="hair">
        <color theme="0" tint="-0.14996795556505021"/>
      </left>
      <right style="medium">
        <color indexed="64"/>
      </right>
      <top style="hair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5" fillId="3" borderId="8" xfId="0" applyFont="1" applyFill="1" applyBorder="1" applyAlignment="1">
      <alignment horizontal="left" indent="3"/>
    </xf>
    <xf numFmtId="164" fontId="6" fillId="3" borderId="9" xfId="0" applyNumberFormat="1" applyFont="1" applyFill="1" applyBorder="1" applyAlignment="1">
      <alignment horizontal="center"/>
    </xf>
    <xf numFmtId="164" fontId="6" fillId="3" borderId="10" xfId="0" applyNumberFormat="1" applyFont="1" applyFill="1" applyBorder="1" applyAlignment="1">
      <alignment horizontal="center"/>
    </xf>
    <xf numFmtId="164" fontId="7" fillId="0" borderId="16" xfId="0" applyNumberFormat="1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10" fontId="7" fillId="0" borderId="19" xfId="0" applyNumberFormat="1" applyFont="1" applyBorder="1" applyAlignment="1">
      <alignment horizontal="center"/>
    </xf>
    <xf numFmtId="164" fontId="6" fillId="0" borderId="16" xfId="1" applyNumberFormat="1" applyFont="1" applyBorder="1" applyAlignment="1">
      <alignment horizontal="center"/>
    </xf>
    <xf numFmtId="10" fontId="6" fillId="0" borderId="19" xfId="0" applyNumberFormat="1" applyFont="1" applyBorder="1" applyAlignment="1">
      <alignment horizontal="center"/>
    </xf>
    <xf numFmtId="0" fontId="2" fillId="2" borderId="0" xfId="3"/>
    <xf numFmtId="0" fontId="3" fillId="4" borderId="0" xfId="0" applyFont="1" applyFill="1"/>
    <xf numFmtId="164" fontId="3" fillId="4" borderId="0" xfId="1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164" fontId="3" fillId="5" borderId="0" xfId="0" applyNumberFormat="1" applyFont="1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9" fontId="0" fillId="0" borderId="4" xfId="0" applyNumberFormat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9" fontId="0" fillId="6" borderId="0" xfId="0" applyNumberFormat="1" applyFill="1" applyAlignment="1">
      <alignment horizontal="center"/>
    </xf>
    <xf numFmtId="9" fontId="2" fillId="2" borderId="0" xfId="2" applyFont="1" applyFill="1"/>
    <xf numFmtId="0" fontId="4" fillId="7" borderId="0" xfId="0" applyFont="1" applyFill="1"/>
    <xf numFmtId="0" fontId="4" fillId="7" borderId="0" xfId="0" applyFont="1" applyFill="1" applyAlignment="1">
      <alignment horizontal="center"/>
    </xf>
    <xf numFmtId="0" fontId="5" fillId="4" borderId="14" xfId="0" applyFont="1" applyFill="1" applyBorder="1" applyAlignment="1">
      <alignment horizontal="left" indent="3"/>
    </xf>
    <xf numFmtId="0" fontId="5" fillId="4" borderId="15" xfId="0" applyFont="1" applyFill="1" applyBorder="1" applyAlignment="1">
      <alignment horizontal="left" indent="3"/>
    </xf>
    <xf numFmtId="0" fontId="5" fillId="4" borderId="17" xfId="0" applyFont="1" applyFill="1" applyBorder="1" applyAlignment="1">
      <alignment horizontal="left" indent="3"/>
    </xf>
    <xf numFmtId="0" fontId="5" fillId="4" borderId="18" xfId="0" applyFont="1" applyFill="1" applyBorder="1" applyAlignment="1">
      <alignment horizontal="left" indent="3"/>
    </xf>
    <xf numFmtId="0" fontId="0" fillId="8" borderId="0" xfId="0" applyFill="1"/>
    <xf numFmtId="9" fontId="0" fillId="8" borderId="0" xfId="0" applyNumberFormat="1" applyFill="1"/>
    <xf numFmtId="0" fontId="9" fillId="9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left" indent="3"/>
    </xf>
    <xf numFmtId="0" fontId="5" fillId="10" borderId="21" xfId="0" applyFont="1" applyFill="1" applyBorder="1" applyAlignment="1">
      <alignment horizontal="left" indent="3"/>
    </xf>
    <xf numFmtId="164" fontId="6" fillId="10" borderId="22" xfId="0" applyNumberFormat="1" applyFont="1" applyFill="1" applyBorder="1" applyAlignment="1">
      <alignment horizontal="center"/>
    </xf>
    <xf numFmtId="0" fontId="10" fillId="11" borderId="1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8" fillId="12" borderId="17" xfId="0" applyFont="1" applyFill="1" applyBorder="1" applyAlignment="1">
      <alignment horizontal="left" indent="3"/>
    </xf>
    <xf numFmtId="0" fontId="8" fillId="12" borderId="18" xfId="0" applyFont="1" applyFill="1" applyBorder="1" applyAlignment="1">
      <alignment horizontal="left" indent="3"/>
    </xf>
    <xf numFmtId="8" fontId="7" fillId="12" borderId="19" xfId="0" applyNumberFormat="1" applyFont="1" applyFill="1" applyBorder="1" applyAlignment="1">
      <alignment horizontal="center"/>
    </xf>
    <xf numFmtId="0" fontId="8" fillId="10" borderId="20" xfId="0" applyFont="1" applyFill="1" applyBorder="1" applyAlignment="1">
      <alignment horizontal="left" indent="3"/>
    </xf>
    <xf numFmtId="0" fontId="8" fillId="10" borderId="21" xfId="0" applyFont="1" applyFill="1" applyBorder="1" applyAlignment="1">
      <alignment horizontal="left" indent="3"/>
    </xf>
    <xf numFmtId="8" fontId="7" fillId="10" borderId="22" xfId="0" applyNumberFormat="1" applyFont="1" applyFill="1" applyBorder="1" applyAlignment="1">
      <alignment horizontal="center"/>
    </xf>
    <xf numFmtId="0" fontId="10" fillId="13" borderId="1" xfId="0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left" indent="3"/>
    </xf>
    <xf numFmtId="164" fontId="6" fillId="4" borderId="6" xfId="0" applyNumberFormat="1" applyFont="1" applyFill="1" applyBorder="1" applyAlignment="1">
      <alignment horizontal="center"/>
    </xf>
    <xf numFmtId="164" fontId="6" fillId="4" borderId="7" xfId="0" applyNumberFormat="1" applyFont="1" applyFill="1" applyBorder="1" applyAlignment="1">
      <alignment horizontal="center"/>
    </xf>
    <xf numFmtId="0" fontId="5" fillId="4" borderId="8" xfId="0" applyFont="1" applyFill="1" applyBorder="1" applyAlignment="1">
      <alignment horizontal="left" indent="3"/>
    </xf>
    <xf numFmtId="164" fontId="6" fillId="4" borderId="9" xfId="0" applyNumberFormat="1" applyFont="1" applyFill="1" applyBorder="1" applyAlignment="1">
      <alignment horizontal="center"/>
    </xf>
    <xf numFmtId="164" fontId="6" fillId="4" borderId="10" xfId="0" applyNumberFormat="1" applyFont="1" applyFill="1" applyBorder="1" applyAlignment="1">
      <alignment horizontal="center"/>
    </xf>
    <xf numFmtId="0" fontId="5" fillId="14" borderId="11" xfId="0" applyFont="1" applyFill="1" applyBorder="1" applyAlignment="1">
      <alignment horizontal="left" indent="3"/>
    </xf>
    <xf numFmtId="164" fontId="6" fillId="14" borderId="12" xfId="0" applyNumberFormat="1" applyFont="1" applyFill="1" applyBorder="1" applyAlignment="1">
      <alignment horizontal="center"/>
    </xf>
    <xf numFmtId="164" fontId="6" fillId="14" borderId="13" xfId="0" applyNumberFormat="1" applyFont="1" applyFill="1" applyBorder="1" applyAlignment="1">
      <alignment horizontal="center"/>
    </xf>
    <xf numFmtId="0" fontId="12" fillId="15" borderId="0" xfId="3" applyFont="1" applyFill="1"/>
    <xf numFmtId="0" fontId="12" fillId="16" borderId="0" xfId="3" applyFont="1" applyFill="1" applyAlignment="1">
      <alignment horizontal="center"/>
    </xf>
    <xf numFmtId="0" fontId="13" fillId="17" borderId="0" xfId="0" applyFont="1" applyFill="1" applyAlignment="1">
      <alignment horizontal="center" vertical="center" wrapText="1"/>
    </xf>
    <xf numFmtId="0" fontId="14" fillId="17" borderId="0" xfId="0" applyFont="1" applyFill="1" applyAlignment="1">
      <alignment horizontal="center" vertical="center" wrapText="1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CC2DD"/>
      <color rgb="FFF7C8F5"/>
      <color rgb="FFE2BD7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APP!$C$35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B7-4268-9861-E6F6E8558B9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B7-4268-9861-E6F6E8558B9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B7-4268-9861-E6F6E8558B9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B7-4268-9861-E6F6E8558B9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B7-4268-9861-E6F6E8558B9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B7-4268-9861-E6F6E8558B9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APP!$B$36:$B$41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APP!$C$36:$C$41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9-4386-8C2E-9F990CFD8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317046</xdr:colOff>
      <xdr:row>42</xdr:row>
      <xdr:rowOff>97971</xdr:rowOff>
    </xdr:from>
    <xdr:to>
      <xdr:col>3</xdr:col>
      <xdr:colOff>892175</xdr:colOff>
      <xdr:row>55</xdr:row>
      <xdr:rowOff>35832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4B8E7C0-F2C3-7792-03A6-894CBA533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0B514-4758-45B7-9E7C-BEE6ADE55698}">
  <dimension ref="A2:H59"/>
  <sheetViews>
    <sheetView showGridLines="0" tabSelected="1" zoomScale="110" zoomScaleNormal="110" workbookViewId="0">
      <selection activeCell="B2" sqref="B2:D8"/>
    </sheetView>
  </sheetViews>
  <sheetFormatPr defaultColWidth="0" defaultRowHeight="15" customHeight="1"/>
  <cols>
    <col min="1" max="1" width="5.42578125" customWidth="1"/>
    <col min="2" max="2" width="46.85546875" customWidth="1"/>
    <col min="3" max="3" width="17.42578125" bestFit="1" customWidth="1"/>
    <col min="4" max="4" width="15" customWidth="1"/>
    <col min="5" max="5" width="28.140625" customWidth="1"/>
    <col min="6" max="6" width="25.28515625" style="32" customWidth="1"/>
    <col min="9" max="16384" width="8.7109375" hidden="1"/>
  </cols>
  <sheetData>
    <row r="2" spans="2:4" ht="15" customHeight="1">
      <c r="B2" s="63" t="s">
        <v>0</v>
      </c>
      <c r="C2" s="64"/>
      <c r="D2" s="64"/>
    </row>
    <row r="3" spans="2:4" ht="15" customHeight="1">
      <c r="B3" s="64"/>
      <c r="C3" s="64"/>
      <c r="D3" s="64"/>
    </row>
    <row r="4" spans="2:4" ht="15" customHeight="1">
      <c r="B4" s="64"/>
      <c r="C4" s="64"/>
      <c r="D4" s="64"/>
    </row>
    <row r="5" spans="2:4" ht="15" customHeight="1">
      <c r="B5" s="64"/>
      <c r="C5" s="64"/>
      <c r="D5" s="64"/>
    </row>
    <row r="6" spans="2:4" ht="15" customHeight="1">
      <c r="B6" s="64"/>
      <c r="C6" s="64"/>
      <c r="D6" s="64"/>
    </row>
    <row r="7" spans="2:4" ht="15" customHeight="1">
      <c r="B7" s="64"/>
      <c r="C7" s="64"/>
      <c r="D7" s="64"/>
    </row>
    <row r="8" spans="2:4" ht="15" customHeight="1">
      <c r="B8" s="64"/>
      <c r="C8" s="64"/>
      <c r="D8" s="64"/>
    </row>
    <row r="10" spans="2:4"/>
    <row r="11" spans="2:4" ht="26.25">
      <c r="B11" s="34" t="s">
        <v>1</v>
      </c>
      <c r="C11" s="35"/>
      <c r="D11" s="36"/>
    </row>
    <row r="12" spans="2:4" ht="17.25">
      <c r="B12" s="28" t="s">
        <v>2</v>
      </c>
      <c r="C12" s="29"/>
      <c r="D12" s="10">
        <v>1889</v>
      </c>
    </row>
    <row r="13" spans="2:4" ht="17.25">
      <c r="B13" s="30" t="s">
        <v>3</v>
      </c>
      <c r="C13" s="31"/>
      <c r="D13" s="11">
        <v>6.0000000000000001E-3</v>
      </c>
    </row>
    <row r="14" spans="2:4" ht="17.25">
      <c r="B14" s="37" t="s">
        <v>4</v>
      </c>
      <c r="C14" s="38"/>
      <c r="D14" s="39">
        <f>D12*30%</f>
        <v>566.69999999999993</v>
      </c>
    </row>
    <row r="15" spans="2:4" thickBot="1"/>
    <row r="16" spans="2:4" ht="28.5" customHeight="1">
      <c r="B16" s="40" t="s">
        <v>5</v>
      </c>
      <c r="C16" s="41"/>
      <c r="D16" s="42"/>
    </row>
    <row r="17" spans="1:6" ht="17.25">
      <c r="B17" s="28" t="s">
        <v>6</v>
      </c>
      <c r="C17" s="29"/>
      <c r="D17" s="7">
        <f>1889*20%</f>
        <v>377.8</v>
      </c>
    </row>
    <row r="18" spans="1:6" ht="17.25">
      <c r="B18" s="30" t="s">
        <v>7</v>
      </c>
      <c r="C18" s="31"/>
      <c r="D18" s="8">
        <v>3</v>
      </c>
    </row>
    <row r="19" spans="1:6" ht="17.25">
      <c r="B19" s="30" t="s">
        <v>8</v>
      </c>
      <c r="C19" s="31"/>
      <c r="D19" s="9">
        <v>0.01</v>
      </c>
    </row>
    <row r="20" spans="1:6" ht="17.25">
      <c r="B20" s="43" t="s">
        <v>9</v>
      </c>
      <c r="C20" s="44"/>
      <c r="D20" s="45">
        <f>FV(taxa_mensal,qtd_anos*12,aporte*-1)</f>
        <v>16274.444644089932</v>
      </c>
    </row>
    <row r="21" spans="1:6" ht="17.25">
      <c r="B21" s="46" t="s">
        <v>10</v>
      </c>
      <c r="C21" s="47"/>
      <c r="D21" s="48">
        <f>patrimonio*rendimento_carteira</f>
        <v>97.646667864539594</v>
      </c>
      <c r="F21" s="33"/>
    </row>
    <row r="22" spans="1:6" thickBot="1"/>
    <row r="23" spans="1:6" ht="30.75">
      <c r="B23" s="49" t="s">
        <v>11</v>
      </c>
      <c r="C23" s="50"/>
      <c r="D23" s="51" t="s">
        <v>12</v>
      </c>
    </row>
    <row r="24" spans="1:6" ht="17.25">
      <c r="A24" s="1">
        <v>2</v>
      </c>
      <c r="B24" s="52" t="s">
        <v>13</v>
      </c>
      <c r="C24" s="53">
        <f>FV($D$19,$A24*12,$D$17*-1)</f>
        <v>10190.575021535748</v>
      </c>
      <c r="D24" s="54">
        <f>C24*rendimento_carteira</f>
        <v>61.143450129214486</v>
      </c>
    </row>
    <row r="25" spans="1:6" ht="17.25">
      <c r="A25" s="1">
        <v>5</v>
      </c>
      <c r="B25" s="55" t="s">
        <v>14</v>
      </c>
      <c r="C25" s="56">
        <f>FV($D$19,$A25*12,$D$17*-1)</f>
        <v>30854.80127175137</v>
      </c>
      <c r="D25" s="57">
        <f>C25*rendimento_carteira</f>
        <v>185.12880763050822</v>
      </c>
    </row>
    <row r="26" spans="1:6" ht="17.25">
      <c r="A26" s="1">
        <v>10</v>
      </c>
      <c r="B26" s="4" t="s">
        <v>15</v>
      </c>
      <c r="C26" s="5">
        <f>FV($D$19,$A26*12,$D$17*-1)</f>
        <v>86908.616876993256</v>
      </c>
      <c r="D26" s="6">
        <f>C26*rendimento_carteira</f>
        <v>521.45170126195956</v>
      </c>
    </row>
    <row r="27" spans="1:6" ht="17.25">
      <c r="A27" s="1">
        <v>20</v>
      </c>
      <c r="B27" s="4" t="s">
        <v>16</v>
      </c>
      <c r="C27" s="5">
        <f>FV($D$19,$A27*12,$D$17*-1)</f>
        <v>373740.67704334576</v>
      </c>
      <c r="D27" s="6">
        <f>C27*rendimento_carteira</f>
        <v>2242.4440622600746</v>
      </c>
    </row>
    <row r="28" spans="1:6" ht="17.25">
      <c r="A28" s="1">
        <v>30</v>
      </c>
      <c r="B28" s="58" t="s">
        <v>17</v>
      </c>
      <c r="C28" s="59">
        <f>FV($D$19,$A28*12,$D$17*-1)</f>
        <v>1320397.4493599418</v>
      </c>
      <c r="D28" s="60">
        <f>C28*rendimento_carteira</f>
        <v>7922.384696159651</v>
      </c>
    </row>
    <row r="32" spans="1:6">
      <c r="B32" s="61" t="s">
        <v>18</v>
      </c>
      <c r="C32" s="62" t="s">
        <v>19</v>
      </c>
      <c r="D32" s="61"/>
    </row>
    <row r="33" spans="2:4">
      <c r="B33" s="13" t="s">
        <v>20</v>
      </c>
      <c r="C33" s="14">
        <f>aporte</f>
        <v>377.8</v>
      </c>
      <c r="D33" s="13"/>
    </row>
    <row r="35" spans="2:4">
      <c r="B35" s="15" t="s">
        <v>21</v>
      </c>
      <c r="C35" s="15" t="s">
        <v>22</v>
      </c>
      <c r="D35" s="15" t="s">
        <v>23</v>
      </c>
    </row>
    <row r="36" spans="2:4">
      <c r="B36" s="2" t="s">
        <v>24</v>
      </c>
      <c r="C36" s="3">
        <f>VLOOKUP($C$32&amp;"-"&amp;B36,Planilha2!$A:$D,4,FALSE)</f>
        <v>0.32</v>
      </c>
      <c r="D36" s="18">
        <f>C36*$C$33</f>
        <v>120.896</v>
      </c>
    </row>
    <row r="37" spans="2:4">
      <c r="B37" s="2" t="s">
        <v>25</v>
      </c>
      <c r="C37" s="3">
        <f>VLOOKUP($C$32&amp;"-"&amp;B37,Planilha2!$A:$D,4,FALSE)</f>
        <v>0.35</v>
      </c>
      <c r="D37" s="18">
        <f t="shared" ref="D37:D41" si="0">C37*$C$33</f>
        <v>132.22999999999999</v>
      </c>
    </row>
    <row r="38" spans="2:4">
      <c r="B38" s="2" t="s">
        <v>26</v>
      </c>
      <c r="C38" s="3">
        <f>VLOOKUP($C$32&amp;"-"&amp;B38,Planilha2!$A:$D,4,FALSE)</f>
        <v>0.08</v>
      </c>
      <c r="D38" s="18">
        <f t="shared" si="0"/>
        <v>30.224</v>
      </c>
    </row>
    <row r="39" spans="2:4">
      <c r="B39" s="2" t="s">
        <v>27</v>
      </c>
      <c r="C39" s="3">
        <f>VLOOKUP($C$32&amp;"-"&amp;B39,Planilha2!$A:$D,4,FALSE)</f>
        <v>0.05</v>
      </c>
      <c r="D39" s="18">
        <f t="shared" si="0"/>
        <v>18.89</v>
      </c>
    </row>
    <row r="40" spans="2:4">
      <c r="B40" s="2" t="s">
        <v>28</v>
      </c>
      <c r="C40" s="3">
        <f>VLOOKUP($C$32&amp;"-"&amp;B40,Planilha2!$A:$D,4,FALSE)</f>
        <v>0.1</v>
      </c>
      <c r="D40" s="18">
        <f t="shared" si="0"/>
        <v>37.78</v>
      </c>
    </row>
    <row r="41" spans="2:4">
      <c r="B41" s="2" t="s">
        <v>29</v>
      </c>
      <c r="C41" s="3">
        <f>VLOOKUP($C$32&amp;"-"&amp;B41,Planilha2!$A:$D,4,FALSE)</f>
        <v>0.1</v>
      </c>
      <c r="D41" s="18">
        <f t="shared" si="0"/>
        <v>37.78</v>
      </c>
    </row>
    <row r="42" spans="2:4">
      <c r="B42" s="16"/>
      <c r="C42" s="16"/>
      <c r="D42" s="17">
        <f>SUM(D36:D41)</f>
        <v>377.79999999999995</v>
      </c>
    </row>
    <row r="49"/>
    <row r="50"/>
    <row r="51"/>
    <row r="52"/>
    <row r="53"/>
    <row r="54"/>
    <row r="55"/>
    <row r="56"/>
    <row r="57"/>
    <row r="59" s="32" customFormat="1"/>
  </sheetData>
  <mergeCells count="12">
    <mergeCell ref="B11:D11"/>
    <mergeCell ref="B2:D8"/>
    <mergeCell ref="B12:C12"/>
    <mergeCell ref="B13:C13"/>
    <mergeCell ref="B14:C14"/>
    <mergeCell ref="B20:C20"/>
    <mergeCell ref="B23:C23"/>
    <mergeCell ref="B17:C17"/>
    <mergeCell ref="B18:C18"/>
    <mergeCell ref="B19:C19"/>
    <mergeCell ref="B21:C21"/>
    <mergeCell ref="B16:D16"/>
  </mergeCells>
  <dataValidations count="1">
    <dataValidation type="list" allowBlank="1" showInputMessage="1" showErrorMessage="1" sqref="C32" xr:uid="{25FB6157-0D6F-4288-BDF6-1C9F16279EC9}">
      <formula1>"Conservador, Moderado, 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3A6F9-1A8F-494B-BC52-78E26FF12D4E}">
  <dimension ref="A2:H21"/>
  <sheetViews>
    <sheetView showGridLines="0" zoomScale="115" zoomScaleNormal="115" workbookViewId="0">
      <selection activeCell="C7" sqref="C7"/>
    </sheetView>
  </sheetViews>
  <sheetFormatPr defaultRowHeight="14.45"/>
  <cols>
    <col min="1" max="1" width="29.140625" bestFit="1" customWidth="1"/>
    <col min="2" max="2" width="11.5703125" bestFit="1" customWidth="1"/>
    <col min="3" max="3" width="17.7109375" bestFit="1" customWidth="1"/>
    <col min="7" max="7" width="15.42578125" bestFit="1" customWidth="1"/>
  </cols>
  <sheetData>
    <row r="2" spans="1:8">
      <c r="A2" s="26" t="s">
        <v>30</v>
      </c>
      <c r="B2" s="26" t="s">
        <v>18</v>
      </c>
      <c r="C2" s="27" t="s">
        <v>21</v>
      </c>
      <c r="D2" s="27" t="s">
        <v>31</v>
      </c>
    </row>
    <row r="3" spans="1:8">
      <c r="A3" t="str">
        <f>B3&amp;"-"&amp;C3</f>
        <v>Conservador-PAPEL</v>
      </c>
      <c r="B3" t="s">
        <v>32</v>
      </c>
      <c r="C3" s="2" t="s">
        <v>24</v>
      </c>
      <c r="D3" s="3">
        <v>0.3</v>
      </c>
      <c r="H3" t="s">
        <v>31</v>
      </c>
    </row>
    <row r="4" spans="1:8">
      <c r="A4" t="str">
        <f t="shared" ref="A4:A20" si="0">B4&amp;"-"&amp;C4</f>
        <v>Conservador-TIJOLO</v>
      </c>
      <c r="B4" t="s">
        <v>32</v>
      </c>
      <c r="C4" s="2" t="s">
        <v>25</v>
      </c>
      <c r="D4" s="3">
        <v>0.5</v>
      </c>
      <c r="G4" s="12" t="s">
        <v>33</v>
      </c>
      <c r="H4" s="25">
        <f>VLOOKUP(G4,$A:$D,4,FALSE)</f>
        <v>0.35</v>
      </c>
    </row>
    <row r="5" spans="1:8">
      <c r="A5" t="str">
        <f t="shared" si="0"/>
        <v>Conservador-HÍBRIDOS</v>
      </c>
      <c r="B5" t="s">
        <v>32</v>
      </c>
      <c r="C5" s="2" t="s">
        <v>26</v>
      </c>
      <c r="D5" s="3">
        <v>0.1</v>
      </c>
    </row>
    <row r="6" spans="1:8">
      <c r="A6" t="str">
        <f t="shared" si="0"/>
        <v>Conservador-FOFs</v>
      </c>
      <c r="B6" t="s">
        <v>32</v>
      </c>
      <c r="C6" s="2" t="s">
        <v>27</v>
      </c>
      <c r="D6" s="3">
        <v>0.1</v>
      </c>
    </row>
    <row r="7" spans="1:8">
      <c r="A7" t="str">
        <f t="shared" si="0"/>
        <v>Conservador-DESENVOLVIMENTO</v>
      </c>
      <c r="B7" t="s">
        <v>32</v>
      </c>
      <c r="C7" s="2" t="s">
        <v>28</v>
      </c>
      <c r="D7" s="3">
        <v>0</v>
      </c>
    </row>
    <row r="8" spans="1:8" ht="15" thickBot="1">
      <c r="A8" s="19" t="str">
        <f t="shared" si="0"/>
        <v>Conservador-HOTELARIAS</v>
      </c>
      <c r="B8" s="19" t="s">
        <v>32</v>
      </c>
      <c r="C8" s="20" t="s">
        <v>29</v>
      </c>
      <c r="D8" s="21">
        <v>0</v>
      </c>
    </row>
    <row r="9" spans="1:8">
      <c r="A9" t="str">
        <f t="shared" si="0"/>
        <v>Moderado-PAPEL</v>
      </c>
      <c r="B9" t="s">
        <v>19</v>
      </c>
      <c r="C9" s="2" t="s">
        <v>24</v>
      </c>
      <c r="D9" s="3">
        <v>0.32</v>
      </c>
    </row>
    <row r="10" spans="1:8">
      <c r="A10" s="22" t="str">
        <f t="shared" si="0"/>
        <v>Moderado-TIJOLO</v>
      </c>
      <c r="B10" s="22" t="s">
        <v>19</v>
      </c>
      <c r="C10" s="23" t="s">
        <v>25</v>
      </c>
      <c r="D10" s="24">
        <v>0.35</v>
      </c>
    </row>
    <row r="11" spans="1:8">
      <c r="A11" t="str">
        <f t="shared" si="0"/>
        <v>Moderado-HÍBRIDOS</v>
      </c>
      <c r="B11" t="s">
        <v>19</v>
      </c>
      <c r="C11" s="2" t="s">
        <v>26</v>
      </c>
      <c r="D11" s="3">
        <v>0.08</v>
      </c>
    </row>
    <row r="12" spans="1:8">
      <c r="A12" t="str">
        <f t="shared" si="0"/>
        <v>Moderado-FOFs</v>
      </c>
      <c r="B12" t="s">
        <v>19</v>
      </c>
      <c r="C12" s="2" t="s">
        <v>27</v>
      </c>
      <c r="D12" s="3">
        <v>0.05</v>
      </c>
    </row>
    <row r="13" spans="1:8">
      <c r="A13" t="str">
        <f t="shared" si="0"/>
        <v>Moderado-DESENVOLVIMENTO</v>
      </c>
      <c r="B13" t="s">
        <v>19</v>
      </c>
      <c r="C13" s="2" t="s">
        <v>28</v>
      </c>
      <c r="D13" s="3">
        <v>0.1</v>
      </c>
    </row>
    <row r="14" spans="1:8" ht="15" thickBot="1">
      <c r="A14" s="19" t="str">
        <f t="shared" si="0"/>
        <v>Moderado-HOTELARIAS</v>
      </c>
      <c r="B14" s="19" t="s">
        <v>19</v>
      </c>
      <c r="C14" s="20" t="s">
        <v>29</v>
      </c>
      <c r="D14" s="21">
        <v>0.1</v>
      </c>
    </row>
    <row r="15" spans="1:8">
      <c r="A15" t="str">
        <f t="shared" si="0"/>
        <v>Agressivo-PAPEL</v>
      </c>
      <c r="B15" t="s">
        <v>34</v>
      </c>
      <c r="C15" s="2" t="s">
        <v>24</v>
      </c>
      <c r="D15" s="3">
        <v>0.5</v>
      </c>
    </row>
    <row r="16" spans="1:8">
      <c r="A16" t="str">
        <f t="shared" si="0"/>
        <v>Agressivo-TIJOLO</v>
      </c>
      <c r="B16" t="s">
        <v>34</v>
      </c>
      <c r="C16" s="2" t="s">
        <v>25</v>
      </c>
      <c r="D16" s="3">
        <v>0.1</v>
      </c>
    </row>
    <row r="17" spans="1:4">
      <c r="A17" t="str">
        <f t="shared" si="0"/>
        <v>Agressivo-HÍBRIDOS</v>
      </c>
      <c r="B17" t="s">
        <v>34</v>
      </c>
      <c r="C17" s="2" t="s">
        <v>26</v>
      </c>
      <c r="D17" s="3">
        <v>0.05</v>
      </c>
    </row>
    <row r="18" spans="1:4">
      <c r="A18" t="str">
        <f t="shared" si="0"/>
        <v>Agressivo-FOFs</v>
      </c>
      <c r="B18" t="s">
        <v>34</v>
      </c>
      <c r="C18" s="2" t="s">
        <v>27</v>
      </c>
      <c r="D18" s="3">
        <v>0.05</v>
      </c>
    </row>
    <row r="19" spans="1:4">
      <c r="A19" t="str">
        <f t="shared" si="0"/>
        <v>Agressivo-DESENVOLVIMENTO</v>
      </c>
      <c r="B19" t="s">
        <v>34</v>
      </c>
      <c r="C19" s="2" t="s">
        <v>28</v>
      </c>
      <c r="D19" s="3">
        <v>0.2</v>
      </c>
    </row>
    <row r="20" spans="1:4">
      <c r="A20" t="str">
        <f t="shared" si="0"/>
        <v>Agressivo-HOTELARIAS</v>
      </c>
      <c r="B20" t="s">
        <v>34</v>
      </c>
      <c r="C20" s="2" t="s">
        <v>29</v>
      </c>
      <c r="D20" s="3">
        <v>0.1</v>
      </c>
    </row>
    <row r="21" spans="1:4">
      <c r="D21" s="2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62BBC473-00BC-48E4-BFA3-FE8E2B1F0015}"/>
</file>

<file path=customXml/itemProps2.xml><?xml version="1.0" encoding="utf-8"?>
<ds:datastoreItem xmlns:ds="http://schemas.openxmlformats.org/officeDocument/2006/customXml" ds:itemID="{C32110DE-3D77-470C-9CED-65521C30E3F6}"/>
</file>

<file path=customXml/itemProps3.xml><?xml version="1.0" encoding="utf-8"?>
<ds:datastoreItem xmlns:ds="http://schemas.openxmlformats.org/officeDocument/2006/customXml" ds:itemID="{54D0D6DD-E6DB-45C8-8F90-E314C090C0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Silva Aguiar</dc:creator>
  <cp:keywords/>
  <dc:description/>
  <cp:lastModifiedBy/>
  <cp:revision/>
  <dcterms:created xsi:type="dcterms:W3CDTF">2025-04-16T18:38:03Z</dcterms:created>
  <dcterms:modified xsi:type="dcterms:W3CDTF">2026-02-06T17:23:39Z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